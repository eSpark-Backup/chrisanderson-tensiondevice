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anderson-tensiondevice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3" i="1" l="1"/>
  <c r="B62" i="1"/>
  <c r="B61" i="1"/>
  <c r="B60" i="1"/>
  <c r="B59" i="1" l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<sst xmlns="http://schemas.openxmlformats.org/spreadsheetml/2006/main" count="440" uniqueCount="286">
  <si>
    <t>#</t>
  </si>
  <si>
    <t>Item Type</t>
  </si>
  <si>
    <t>Capacitor</t>
  </si>
  <si>
    <t>Diode</t>
  </si>
  <si>
    <t>Fuse</t>
  </si>
  <si>
    <t>Ferrite Bead</t>
  </si>
  <si>
    <t>Connector</t>
  </si>
  <si>
    <t>USB Connector</t>
  </si>
  <si>
    <t>Screw Terminal</t>
  </si>
  <si>
    <t>Connectors</t>
  </si>
  <si>
    <t>Wire to Board Connector</t>
  </si>
  <si>
    <t>Inductor</t>
  </si>
  <si>
    <t>LED</t>
  </si>
  <si>
    <t>Mosfet</t>
  </si>
  <si>
    <t>MOSFETs</t>
  </si>
  <si>
    <t>Resistor</t>
  </si>
  <si>
    <t>Switch</t>
  </si>
  <si>
    <t>Tactile Switch</t>
  </si>
  <si>
    <t>IC</t>
  </si>
  <si>
    <t>Module</t>
  </si>
  <si>
    <t>Designator</t>
  </si>
  <si>
    <t>C1, C2, C5, C21, C24, C27</t>
  </si>
  <si>
    <t>C3, C12, C15, C22</t>
  </si>
  <si>
    <t>C4</t>
  </si>
  <si>
    <t>C6, C8, C42, C44</t>
  </si>
  <si>
    <t>C7, C9, C16, C18, C25, C43</t>
  </si>
  <si>
    <t>C10, C19</t>
  </si>
  <si>
    <t>C11</t>
  </si>
  <si>
    <t>C13</t>
  </si>
  <si>
    <t>C14, C46</t>
  </si>
  <si>
    <t>C17, C26, C28, C30, C31, C33, C34, C35, C37, C38, C40, C41</t>
  </si>
  <si>
    <t>C20</t>
  </si>
  <si>
    <t>C23</t>
  </si>
  <si>
    <t>C29, C32, C36, C39</t>
  </si>
  <si>
    <t>D1</t>
  </si>
  <si>
    <t>D2</t>
  </si>
  <si>
    <t>D3, D4</t>
  </si>
  <si>
    <t>F1</t>
  </si>
  <si>
    <t>FB1, FB2</t>
  </si>
  <si>
    <t>J1</t>
  </si>
  <si>
    <t>J2</t>
  </si>
  <si>
    <t>J3, J7</t>
  </si>
  <si>
    <t>J4</t>
  </si>
  <si>
    <t>J5</t>
  </si>
  <si>
    <t>J6</t>
  </si>
  <si>
    <t>L1, L2</t>
  </si>
  <si>
    <t>LED1</t>
  </si>
  <si>
    <t>LED2</t>
  </si>
  <si>
    <t>LED3</t>
  </si>
  <si>
    <t>LED4</t>
  </si>
  <si>
    <t>LED5</t>
  </si>
  <si>
    <t>Q1</t>
  </si>
  <si>
    <t>Q2</t>
  </si>
  <si>
    <t>Q3</t>
  </si>
  <si>
    <t>Q4</t>
  </si>
  <si>
    <t>Q5, Q6</t>
  </si>
  <si>
    <t>R1</t>
  </si>
  <si>
    <t>R2, R3</t>
  </si>
  <si>
    <t>R4</t>
  </si>
  <si>
    <t>R5, R10</t>
  </si>
  <si>
    <t>R6, R7, R14, R15, R30, R31</t>
  </si>
  <si>
    <t>R8</t>
  </si>
  <si>
    <t>R9</t>
  </si>
  <si>
    <t>R11</t>
  </si>
  <si>
    <t>R12, R13</t>
  </si>
  <si>
    <t>R16</t>
  </si>
  <si>
    <t>R17, R22</t>
  </si>
  <si>
    <t>R18, R23</t>
  </si>
  <si>
    <t>R19, R24</t>
  </si>
  <si>
    <t>R20, R21, R25, R26</t>
  </si>
  <si>
    <t>R27, R28, R29</t>
  </si>
  <si>
    <t>SW1, SW6</t>
  </si>
  <si>
    <t>SW2, SW3</t>
  </si>
  <si>
    <t>SW4, SW5</t>
  </si>
  <si>
    <t>U1</t>
  </si>
  <si>
    <t>U2, U6</t>
  </si>
  <si>
    <t>U3</t>
  </si>
  <si>
    <t>U4, U5</t>
  </si>
  <si>
    <t>Description</t>
  </si>
  <si>
    <t>CAP CER 10UF 25V X5R 0603</t>
  </si>
  <si>
    <t>CAP CER 0.1UF 25V X5R 0402</t>
  </si>
  <si>
    <t>CAP CER 0.1UF 50V X5R 0402</t>
  </si>
  <si>
    <t>CAP CER 2.2UF 25V X5R 0402</t>
  </si>
  <si>
    <t>CAP CER 10UF 10V X5R 0402</t>
  </si>
  <si>
    <t>10V 100uF X5R ±20% 1206 Multilayer Ceramic Capacitors MLCC - SMD/SMT ROHS</t>
  </si>
  <si>
    <t>CAP CER 22UF 10V X5R 0603</t>
  </si>
  <si>
    <t>CAP CER 1UF 25V X5R 0402</t>
  </si>
  <si>
    <t>CAP CER 0.1UF 50V X5R 0603</t>
  </si>
  <si>
    <t>CAP CER 0.1UF 100V X5R 0402</t>
  </si>
  <si>
    <t>470uF 10V 220mA@120Hz 450mΩ ±20% SMD,D6.3xL5.8mm Aluminum Electrolytic Capacitors - SMD ROHS</t>
  </si>
  <si>
    <t>CAP CER 4700PF 50V X7R 0402</t>
  </si>
  <si>
    <t>CAP CER 10UF 10V X5R 0603</t>
  </si>
  <si>
    <t>SOD-123FL Schottky Barrier Diodes (SBD) ROHS</t>
  </si>
  <si>
    <t>DIODE SCHOTTKY 40V 1A SOD323</t>
  </si>
  <si>
    <t>TVS DIODE 5V 9.8V SOD923</t>
  </si>
  <si>
    <t>6V 2A 50A 1W -40℃~+85℃ 4A 4mΩ 5s 45mΩ 0805 Resettable Fuses ROHS</t>
  </si>
  <si>
    <t>FERRITE BEAD 120 OHM 0603 1LN</t>
  </si>
  <si>
    <t>1x6P SH 1 1mm 6 SMD,P=1mm Wire To Board / Wire To Wire Connector ROHS</t>
  </si>
  <si>
    <t>5A 1 16P Female Type-C SMD USB Connectors ROHS</t>
  </si>
  <si>
    <t>1x4P 6A -40℃~+105℃ 150V Green 18~24 Direct Insert 2.54mm 1 1 4 Plugin,P=2.54mm Screw Terminal Blocks ROHS</t>
  </si>
  <si>
    <t>CONN HEADER SMD R/A 2POS 2MM</t>
  </si>
  <si>
    <t>1x2P 6A -40℃~+105℃ 150V Green 18~24 Direct Insert 2.54mm 1 1 2 Plugin,P=2.54mm Screw Terminal Blocks ROHS</t>
  </si>
  <si>
    <t>SMD,P=1.25mm,Surface Mount，Right Angle</t>
  </si>
  <si>
    <t>800mA 3.3uH ±20% 0805 Power Inductors ROHS</t>
  </si>
  <si>
    <t>RED LED 0603 Light Emitting Diodes</t>
  </si>
  <si>
    <t>Emerald 0603 Light Emitting Diodes (LED) ROHS</t>
  </si>
  <si>
    <t>515nm~525nm -30℃~+85℃ Emerald 30° 200mW Plugin,D=3mm Light Emitting Diodes (LED) ROHS</t>
  </si>
  <si>
    <t>20mA -40℃~+80℃ 605nm Amber Color 50° 3mm圆形灯头 75mW Plugin,D=3mm Light Emitting Diodes (LED) ROHS</t>
  </si>
  <si>
    <t>620nm~630nm -30℃~+85℃ Red 30° 200mW Plugin,D=3mm Light Emitting Diodes (LED) ROHS</t>
  </si>
  <si>
    <t>30V 7A 19mΩ 1.9W 1.1V@250uA P Channel SOT-23-3L MOSFETs ROHS</t>
  </si>
  <si>
    <t>MOSFET N-CH 55V 12A SOT223</t>
  </si>
  <si>
    <t>30V 4.1A 60mΩ@10V,4.1A 350mW 3V@250uA P Channel SOT-23 MOSFETs ROHS</t>
  </si>
  <si>
    <t>TRANS NPN 40V 0.6A SMD SOT23-3</t>
  </si>
  <si>
    <t>TRANS PNP 40V 600MA SOT23-3</t>
  </si>
  <si>
    <t>RES 1.2K OHM 1% 1/16W 0402</t>
  </si>
  <si>
    <t>RES  SMD 330R 100 mW 0603</t>
  </si>
  <si>
    <t>RES 100K OHM 5% 1/10W 0603</t>
  </si>
  <si>
    <t>RES SMD 10K OHM 0.5% 1/16W 0402</t>
  </si>
  <si>
    <t>RES 5.1K OHM 1% 1/16W 0402</t>
  </si>
  <si>
    <t>RES SMD 100 OHM 1% 1/4W 0603</t>
  </si>
  <si>
    <t>RES SMD 100K OHM 0.1% 1/10W 0603</t>
  </si>
  <si>
    <t>RES 270K OHM 0.5% 1/10W 0603</t>
  </si>
  <si>
    <t>RES SMD 1K OHM 1% 1/10W 0603</t>
  </si>
  <si>
    <t>Res Thick Film 0402 1M Ohm 1% 0.1W(1/10W) ±100ppm/C Pad SMD Automotive T/R</t>
  </si>
  <si>
    <t>RES SMD 10K Ohm 1% 1/10W 0603</t>
  </si>
  <si>
    <t>RES SMD 20K OHM 0.1% 1/16W 0402</t>
  </si>
  <si>
    <t>RES SMD 8.2K OHM 0.1% 1/16W 0402</t>
  </si>
  <si>
    <t>RES 100 OHM 1% 1/16W 0402</t>
  </si>
  <si>
    <t>RES 130 OHM 1% 1/10W 0603</t>
  </si>
  <si>
    <t>3A Direct Insert Single Pole Double Throw (SPDT) 125V Black 10,000 times Plugin Slide Switches ROHS</t>
  </si>
  <si>
    <t>Without bracket 50mA 4mm 100000 Times 12V 160gf 3mm 2mm Round Button Standing paste SPST SMD Tactile Switches ROHS</t>
  </si>
  <si>
    <t>No NO 50mA 4.5mm 100000 260gf 12V -30℃~+85℃ 4.5mm 4.3mm Black Round Button Brick nogging SPST SMD Tactile Switches ROHS</t>
  </si>
  <si>
    <t>ESOP-8 Battery Management ICs ROHS</t>
  </si>
  <si>
    <t>IC REG LINEAR 3.3V 1A 8DFN</t>
  </si>
  <si>
    <t>SMD MODULE, ESP32-S3R8 WITH 3.3V</t>
  </si>
  <si>
    <t>2.7V~5.5V 24Bit SOP-16 Analog to Digital Converters (ADC) ROHS</t>
  </si>
  <si>
    <t>Footprint</t>
  </si>
  <si>
    <t>Cap-0603</t>
  </si>
  <si>
    <t>Cap-0402</t>
  </si>
  <si>
    <t>Cap-1206</t>
  </si>
  <si>
    <t>RVE1A471M0605</t>
  </si>
  <si>
    <t>SOD-123FL</t>
  </si>
  <si>
    <t>SOD-323</t>
  </si>
  <si>
    <t>SOD-923.</t>
  </si>
  <si>
    <t>Fuse-0805</t>
  </si>
  <si>
    <t>IND-0603 (1608 Metric)</t>
  </si>
  <si>
    <t>MX128-2.54-04P-GN01-Cu-Y-A</t>
  </si>
  <si>
    <t>S2B-PH-SM4-TB(LF)(SN)</t>
  </si>
  <si>
    <t>MX128-2.54-02P-GN01-Cu-Y-A</t>
  </si>
  <si>
    <t>1.25-7PWT</t>
  </si>
  <si>
    <t>Ind-0805</t>
  </si>
  <si>
    <t>LED-0603</t>
  </si>
  <si>
    <t>TH LED 3mm_</t>
  </si>
  <si>
    <t>TH LED Red 3MM</t>
  </si>
  <si>
    <t>SOT-23-3L_</t>
  </si>
  <si>
    <t>SOT- 223</t>
  </si>
  <si>
    <t>SOT-23</t>
  </si>
  <si>
    <t>sot-23</t>
  </si>
  <si>
    <t>Res-0402</t>
  </si>
  <si>
    <t>Res-0603</t>
  </si>
  <si>
    <t>RES-0603</t>
  </si>
  <si>
    <t>TS-1088-AR02016</t>
  </si>
  <si>
    <t>TS-1109S-C-B</t>
  </si>
  <si>
    <t>ESOP-8</t>
  </si>
  <si>
    <t>DFN-8(1.2x1.6)</t>
  </si>
  <si>
    <t>41-SMD Module</t>
  </si>
  <si>
    <t>SOP-16</t>
  </si>
  <si>
    <t>Manufacturer Part Number</t>
  </si>
  <si>
    <t>CL10A106MA8NRNC</t>
  </si>
  <si>
    <t>CC0402KRX5R8BB104</t>
  </si>
  <si>
    <t>C1005X5R1H104K050BB</t>
  </si>
  <si>
    <t>GRM155R61E225KE11D</t>
  </si>
  <si>
    <t>CC0402MRX5R6BB106</t>
  </si>
  <si>
    <t>GRM31CR61A107ME05L</t>
  </si>
  <si>
    <t>CC0603MRX5R6BB226</t>
  </si>
  <si>
    <t>CC0402KRX5R8BB105</t>
  </si>
  <si>
    <t>CC0603KRX5R9BB104</t>
  </si>
  <si>
    <t>GRM155R62A104KE14D</t>
  </si>
  <si>
    <t>CC0402KRX7R9BB472</t>
  </si>
  <si>
    <t>CC0603KRX5R6BB106</t>
  </si>
  <si>
    <t>PMEG4030ER</t>
  </si>
  <si>
    <t>B5819WS-TP</t>
  </si>
  <si>
    <t>ESD9L5.0ST5G</t>
  </si>
  <si>
    <t>BSMD0805L-200</t>
  </si>
  <si>
    <t>BLM18SG121TN1D</t>
  </si>
  <si>
    <t>C145963</t>
  </si>
  <si>
    <t>TYPE-C-31-M-12</t>
  </si>
  <si>
    <t>CMH201209B3R3MT</t>
  </si>
  <si>
    <t>NCD0603R3</t>
  </si>
  <si>
    <t>NCD0603G2</t>
  </si>
  <si>
    <t>NFD3401UGD</t>
  </si>
  <si>
    <t>LTL17KFL5D-012A</t>
  </si>
  <si>
    <t>NFD3401URD</t>
  </si>
  <si>
    <t>G7P03L</t>
  </si>
  <si>
    <t>BUK9832-55A/CUX</t>
  </si>
  <si>
    <t>AO3407</t>
  </si>
  <si>
    <t>MMBT2222A-7-F</t>
  </si>
  <si>
    <t>MMBT4403LT1G</t>
  </si>
  <si>
    <t>RC0402FR-071K2L</t>
  </si>
  <si>
    <t>RC0603JR-07330RL</t>
  </si>
  <si>
    <t>RC0603JR-07100KL</t>
  </si>
  <si>
    <t>RE0402DRE0710KL</t>
  </si>
  <si>
    <t>RC0402FR-075K1L</t>
  </si>
  <si>
    <t>RCA0603100RFKEAHP</t>
  </si>
  <si>
    <t>RT0603BRD07100KL</t>
  </si>
  <si>
    <t>RC0603DR-07270KL</t>
  </si>
  <si>
    <t>RC0603FR-071KL</t>
  </si>
  <si>
    <t>RK73H1ETTP1004F</t>
  </si>
  <si>
    <t>RC0603FR-0710KL</t>
  </si>
  <si>
    <t>RT0402BRD0720KL</t>
  </si>
  <si>
    <t>RT0402BRD078K2L</t>
  </si>
  <si>
    <t>RC0402FR-07100RL</t>
  </si>
  <si>
    <t>RC0603FR-07130RL</t>
  </si>
  <si>
    <t>TP4056-42-ESOP8</t>
  </si>
  <si>
    <t>LD56100DPU33R</t>
  </si>
  <si>
    <t>ESP32-S3-WROOM-1-N16R8</t>
  </si>
  <si>
    <t>HX711</t>
  </si>
  <si>
    <t>Manufacturer</t>
  </si>
  <si>
    <t>Samsung</t>
  </si>
  <si>
    <t>Yageo</t>
  </si>
  <si>
    <t>TDK</t>
  </si>
  <si>
    <t>Murata</t>
  </si>
  <si>
    <t>Roqang</t>
  </si>
  <si>
    <t>Shikues</t>
  </si>
  <si>
    <t>MDD</t>
  </si>
  <si>
    <t>ON Semiconductor</t>
  </si>
  <si>
    <t>BHFUSE</t>
  </si>
  <si>
    <t>BOOMELE</t>
  </si>
  <si>
    <t>Korean Hroparts Elec</t>
  </si>
  <si>
    <t>MAX</t>
  </si>
  <si>
    <t>JST</t>
  </si>
  <si>
    <t>FG</t>
  </si>
  <si>
    <t>FH (Guangdong Fenghua Advanced Tech)</t>
  </si>
  <si>
    <t>Foshan NationStar Optoelectronics</t>
  </si>
  <si>
    <t>Lite-On</t>
  </si>
  <si>
    <t>GoFord</t>
  </si>
  <si>
    <t>Nexperia</t>
  </si>
  <si>
    <t>Guangdong Hottech</t>
  </si>
  <si>
    <t>Diodes</t>
  </si>
  <si>
    <t>Vishay Dale</t>
  </si>
  <si>
    <t>KOA Speer</t>
  </si>
  <si>
    <t>XKB Connectivity</t>
  </si>
  <si>
    <t>XUNPU</t>
  </si>
  <si>
    <t>TOPPOWER</t>
  </si>
  <si>
    <t>STMicroelectronics</t>
  </si>
  <si>
    <t>Espressif Systems</t>
  </si>
  <si>
    <t>Avia Semicon (Xiamen)</t>
  </si>
  <si>
    <t>10uF</t>
  </si>
  <si>
    <t>100nF</t>
  </si>
  <si>
    <t>0.1uF</t>
  </si>
  <si>
    <t>2.2uF</t>
  </si>
  <si>
    <t>100uF</t>
  </si>
  <si>
    <t>22uF</t>
  </si>
  <si>
    <t>1uF</t>
  </si>
  <si>
    <t>0.1uf</t>
  </si>
  <si>
    <t>470uF</t>
  </si>
  <si>
    <t>4.7nF</t>
  </si>
  <si>
    <t>3.3uH</t>
  </si>
  <si>
    <t>1.2K</t>
  </si>
  <si>
    <t>330R</t>
  </si>
  <si>
    <t>100K</t>
  </si>
  <si>
    <t>10K</t>
  </si>
  <si>
    <t>5.1K</t>
  </si>
  <si>
    <t>100R</t>
  </si>
  <si>
    <t>270K</t>
  </si>
  <si>
    <t>1K</t>
  </si>
  <si>
    <t>1M</t>
  </si>
  <si>
    <t>20K</t>
  </si>
  <si>
    <t>8.2K</t>
  </si>
  <si>
    <t>130R</t>
  </si>
  <si>
    <t>Quantity</t>
  </si>
  <si>
    <t>Remarks</t>
  </si>
  <si>
    <t>Value</t>
  </si>
  <si>
    <t>-</t>
  </si>
  <si>
    <t>Custom</t>
  </si>
  <si>
    <t>Peripheral</t>
  </si>
  <si>
    <t xml:space="preserve">DC Motor </t>
  </si>
  <si>
    <t>3v 101 RPM motor</t>
  </si>
  <si>
    <t>500gm Load cell without HX711 load cell IC module</t>
  </si>
  <si>
    <t xml:space="preserve">Load Cell </t>
  </si>
  <si>
    <t>Aliexpress</t>
  </si>
  <si>
    <t>LED Module</t>
  </si>
  <si>
    <t>JST Cable</t>
  </si>
  <si>
    <t>7 Pin 15cm Double head inter-connection cable</t>
  </si>
  <si>
    <t>Alibaba</t>
  </si>
  <si>
    <t>2.42 inch White OLED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</si>
</sst>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1" applyFill="1" applyBorder="1" applyAlignment="1">
      <alignment horizontal="center" vertical="center" wrapText="1"/>
    </xf>
    <xf numFmtId="0" fontId="6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/4001165877329.html?gatewayAdapt=4itemAdapt" TargetMode="External"/><Relationship Id="rId2" Type="http://schemas.openxmlformats.org/officeDocument/2006/relationships/hyperlink" Target="https://vi.aliexpress.com/item/1005006024363708.html?spm=a2g0o.productlist.main.77.78743198STZk3n&amp;algo_pvid=bb704a64-b409-46b1-8907-4093340b4549&amp;algo_exp_id=bb704a64-b409-46b1-8907-4093340b4549-38&amp;pdp_npi=4%40dis%21PKR%211230.72%211144.40%21%21%214.42%21&amp;" TargetMode="External"/><Relationship Id="rId1" Type="http://schemas.openxmlformats.org/officeDocument/2006/relationships/hyperlink" Target="https://vi.aliexpress.com/item/1005006213184701.html?gatewayAdapt=4itemAdapt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alibaba.com/product-detail/Waveshare-2-42inch-OLED-Display-Module_1600969512051.html?spm=a2700.galleryofferlist.normal_offer.d_title.186513a0pRK8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3"/>
  <sheetViews>
    <sheetView tabSelected="1" topLeftCell="A49" workbookViewId="0">
      <selection activeCell="H62" sqref="H6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6"/>
      <c r="J1" s="16"/>
      <c r="K1" s="16"/>
    </row>
    <row r="2" spans="1:11" ht="15.75" thickBot="1" x14ac:dyDescent="0.3">
      <c r="A2" s="1"/>
      <c r="B2" s="5" t="s">
        <v>0</v>
      </c>
      <c r="C2" s="5" t="s">
        <v>1</v>
      </c>
      <c r="D2" s="5" t="s">
        <v>20</v>
      </c>
      <c r="E2" s="6" t="s">
        <v>78</v>
      </c>
      <c r="F2" s="5" t="s">
        <v>136</v>
      </c>
      <c r="G2" s="6" t="s">
        <v>167</v>
      </c>
      <c r="H2" s="5" t="s">
        <v>217</v>
      </c>
      <c r="I2" s="6" t="s">
        <v>272</v>
      </c>
      <c r="J2" s="5" t="s">
        <v>270</v>
      </c>
      <c r="K2" s="5" t="s">
        <v>271</v>
      </c>
    </row>
    <row r="3" spans="1:11" ht="15.75" thickBot="1" x14ac:dyDescent="0.3">
      <c r="A3" s="1"/>
      <c r="B3" s="11">
        <f>ROW(B3) - ROW($B$2)</f>
        <v>1</v>
      </c>
      <c r="C3" s="13" t="s">
        <v>2</v>
      </c>
      <c r="D3" s="7" t="s">
        <v>21</v>
      </c>
      <c r="E3" s="8" t="s">
        <v>79</v>
      </c>
      <c r="F3" s="7" t="s">
        <v>137</v>
      </c>
      <c r="G3" s="8" t="s">
        <v>168</v>
      </c>
      <c r="H3" s="7" t="s">
        <v>218</v>
      </c>
      <c r="I3" s="8" t="s">
        <v>247</v>
      </c>
      <c r="J3" s="7">
        <v>6</v>
      </c>
      <c r="K3" s="7"/>
    </row>
    <row r="4" spans="1:11" ht="15.75" thickBot="1" x14ac:dyDescent="0.3">
      <c r="A4" s="1"/>
      <c r="B4" s="11">
        <f t="shared" ref="B4:B58" si="0">ROW(B4) - ROW($B$2)</f>
        <v>2</v>
      </c>
      <c r="C4" s="13" t="s">
        <v>2</v>
      </c>
      <c r="D4" s="9" t="s">
        <v>22</v>
      </c>
      <c r="E4" s="10" t="s">
        <v>80</v>
      </c>
      <c r="F4" s="9" t="s">
        <v>138</v>
      </c>
      <c r="G4" s="10" t="s">
        <v>169</v>
      </c>
      <c r="H4" s="9" t="s">
        <v>219</v>
      </c>
      <c r="I4" s="10" t="s">
        <v>248</v>
      </c>
      <c r="J4" s="9">
        <v>4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23</v>
      </c>
      <c r="E5" s="8" t="s">
        <v>81</v>
      </c>
      <c r="F5" s="7" t="s">
        <v>138</v>
      </c>
      <c r="G5" s="8" t="s">
        <v>170</v>
      </c>
      <c r="H5" s="7" t="s">
        <v>220</v>
      </c>
      <c r="I5" s="8" t="s">
        <v>249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24</v>
      </c>
      <c r="E6" s="10" t="s">
        <v>82</v>
      </c>
      <c r="F6" s="9" t="s">
        <v>138</v>
      </c>
      <c r="G6" s="10" t="s">
        <v>171</v>
      </c>
      <c r="H6" s="9" t="s">
        <v>221</v>
      </c>
      <c r="I6" s="10" t="s">
        <v>250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25</v>
      </c>
      <c r="E7" s="8" t="s">
        <v>83</v>
      </c>
      <c r="F7" s="7" t="s">
        <v>138</v>
      </c>
      <c r="G7" s="8" t="s">
        <v>172</v>
      </c>
      <c r="H7" s="7" t="s">
        <v>219</v>
      </c>
      <c r="I7" s="8" t="s">
        <v>247</v>
      </c>
      <c r="J7" s="7">
        <v>6</v>
      </c>
      <c r="K7" s="7"/>
    </row>
    <row r="8" spans="1:11" ht="36.75" thickBot="1" x14ac:dyDescent="0.3">
      <c r="A8" s="1"/>
      <c r="B8" s="11">
        <f t="shared" si="0"/>
        <v>6</v>
      </c>
      <c r="C8" s="13" t="s">
        <v>2</v>
      </c>
      <c r="D8" s="9" t="s">
        <v>26</v>
      </c>
      <c r="E8" s="10" t="s">
        <v>84</v>
      </c>
      <c r="F8" s="9" t="s">
        <v>139</v>
      </c>
      <c r="G8" s="10" t="s">
        <v>173</v>
      </c>
      <c r="H8" s="9" t="s">
        <v>221</v>
      </c>
      <c r="I8" s="10" t="s">
        <v>251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27</v>
      </c>
      <c r="E9" s="8" t="s">
        <v>85</v>
      </c>
      <c r="F9" s="7" t="s">
        <v>137</v>
      </c>
      <c r="G9" s="8" t="s">
        <v>174</v>
      </c>
      <c r="H9" s="7" t="s">
        <v>219</v>
      </c>
      <c r="I9" s="8" t="s">
        <v>252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28</v>
      </c>
      <c r="E10" s="10" t="s">
        <v>86</v>
      </c>
      <c r="F10" s="9" t="s">
        <v>138</v>
      </c>
      <c r="G10" s="10" t="s">
        <v>175</v>
      </c>
      <c r="H10" s="9" t="s">
        <v>219</v>
      </c>
      <c r="I10" s="10" t="s">
        <v>253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29</v>
      </c>
      <c r="E11" s="8" t="s">
        <v>87</v>
      </c>
      <c r="F11" s="7" t="s">
        <v>137</v>
      </c>
      <c r="G11" s="8" t="s">
        <v>176</v>
      </c>
      <c r="H11" s="7" t="s">
        <v>219</v>
      </c>
      <c r="I11" s="8" t="s">
        <v>248</v>
      </c>
      <c r="J11" s="7">
        <v>2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2</v>
      </c>
      <c r="D12" s="9" t="s">
        <v>30</v>
      </c>
      <c r="E12" s="10" t="s">
        <v>88</v>
      </c>
      <c r="F12" s="9" t="s">
        <v>138</v>
      </c>
      <c r="G12" s="10" t="s">
        <v>177</v>
      </c>
      <c r="H12" s="9" t="s">
        <v>221</v>
      </c>
      <c r="I12" s="10" t="s">
        <v>254</v>
      </c>
      <c r="J12" s="9">
        <v>12</v>
      </c>
      <c r="K12" s="9"/>
    </row>
    <row r="13" spans="1:11" ht="36.75" thickBot="1" x14ac:dyDescent="0.3">
      <c r="A13" s="1"/>
      <c r="B13" s="11">
        <f>ROW(B13) - ROW($B$2)</f>
        <v>11</v>
      </c>
      <c r="C13" s="13" t="s">
        <v>2</v>
      </c>
      <c r="D13" s="7" t="s">
        <v>31</v>
      </c>
      <c r="E13" s="8" t="s">
        <v>89</v>
      </c>
      <c r="F13" s="7" t="s">
        <v>274</v>
      </c>
      <c r="G13" s="8" t="s">
        <v>140</v>
      </c>
      <c r="H13" s="7" t="s">
        <v>222</v>
      </c>
      <c r="I13" s="8" t="s">
        <v>255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32</v>
      </c>
      <c r="E14" s="10" t="s">
        <v>90</v>
      </c>
      <c r="F14" s="9" t="s">
        <v>138</v>
      </c>
      <c r="G14" s="10" t="s">
        <v>178</v>
      </c>
      <c r="H14" s="9" t="s">
        <v>219</v>
      </c>
      <c r="I14" s="10" t="s">
        <v>256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33</v>
      </c>
      <c r="E15" s="8" t="s">
        <v>91</v>
      </c>
      <c r="F15" s="7" t="s">
        <v>137</v>
      </c>
      <c r="G15" s="8" t="s">
        <v>179</v>
      </c>
      <c r="H15" s="7" t="s">
        <v>219</v>
      </c>
      <c r="I15" s="8" t="s">
        <v>247</v>
      </c>
      <c r="J15" s="7">
        <v>4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3</v>
      </c>
      <c r="D16" s="9" t="s">
        <v>34</v>
      </c>
      <c r="E16" s="10" t="s">
        <v>92</v>
      </c>
      <c r="F16" s="9" t="s">
        <v>141</v>
      </c>
      <c r="G16" s="10" t="s">
        <v>180</v>
      </c>
      <c r="H16" s="9" t="s">
        <v>223</v>
      </c>
      <c r="I16" s="10" t="s">
        <v>273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35</v>
      </c>
      <c r="E17" s="8" t="s">
        <v>93</v>
      </c>
      <c r="F17" s="7" t="s">
        <v>142</v>
      </c>
      <c r="G17" s="8" t="s">
        <v>181</v>
      </c>
      <c r="H17" s="7" t="s">
        <v>224</v>
      </c>
      <c r="I17" s="10" t="s">
        <v>273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3</v>
      </c>
      <c r="D18" s="9" t="s">
        <v>36</v>
      </c>
      <c r="E18" s="10" t="s">
        <v>94</v>
      </c>
      <c r="F18" s="9" t="s">
        <v>143</v>
      </c>
      <c r="G18" s="10" t="s">
        <v>182</v>
      </c>
      <c r="H18" s="9" t="s">
        <v>225</v>
      </c>
      <c r="I18" s="10" t="s">
        <v>273</v>
      </c>
      <c r="J18" s="9">
        <v>2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4</v>
      </c>
      <c r="D19" s="7" t="s">
        <v>37</v>
      </c>
      <c r="E19" s="8" t="s">
        <v>95</v>
      </c>
      <c r="F19" s="7" t="s">
        <v>144</v>
      </c>
      <c r="G19" s="8" t="s">
        <v>183</v>
      </c>
      <c r="H19" s="7" t="s">
        <v>226</v>
      </c>
      <c r="I19" s="10" t="s">
        <v>273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5</v>
      </c>
      <c r="D20" s="9" t="s">
        <v>38</v>
      </c>
      <c r="E20" s="10" t="s">
        <v>96</v>
      </c>
      <c r="F20" s="9" t="s">
        <v>145</v>
      </c>
      <c r="G20" s="10" t="s">
        <v>184</v>
      </c>
      <c r="H20" s="9" t="s">
        <v>221</v>
      </c>
      <c r="I20" s="10" t="s">
        <v>273</v>
      </c>
      <c r="J20" s="9">
        <v>2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6</v>
      </c>
      <c r="D21" s="7" t="s">
        <v>39</v>
      </c>
      <c r="E21" s="8" t="s">
        <v>97</v>
      </c>
      <c r="F21" s="7" t="s">
        <v>274</v>
      </c>
      <c r="G21" s="8" t="s">
        <v>185</v>
      </c>
      <c r="H21" s="7" t="s">
        <v>227</v>
      </c>
      <c r="I21" s="10" t="s">
        <v>273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7</v>
      </c>
      <c r="D22" s="9" t="s">
        <v>40</v>
      </c>
      <c r="E22" s="10" t="s">
        <v>98</v>
      </c>
      <c r="F22" s="7" t="s">
        <v>274</v>
      </c>
      <c r="G22" s="10" t="s">
        <v>186</v>
      </c>
      <c r="H22" s="9" t="s">
        <v>228</v>
      </c>
      <c r="I22" s="10" t="s">
        <v>273</v>
      </c>
      <c r="J22" s="9">
        <v>1</v>
      </c>
      <c r="K22" s="9"/>
    </row>
    <row r="23" spans="1:11" ht="48.75" thickBot="1" x14ac:dyDescent="0.3">
      <c r="A23" s="1"/>
      <c r="B23" s="11">
        <f>ROW(B23) - ROW($B$2)</f>
        <v>21</v>
      </c>
      <c r="C23" s="12" t="s">
        <v>8</v>
      </c>
      <c r="D23" s="7" t="s">
        <v>41</v>
      </c>
      <c r="E23" s="8" t="s">
        <v>99</v>
      </c>
      <c r="F23" s="7" t="s">
        <v>274</v>
      </c>
      <c r="G23" s="8" t="s">
        <v>146</v>
      </c>
      <c r="H23" s="7" t="s">
        <v>229</v>
      </c>
      <c r="I23" s="10" t="s">
        <v>273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9</v>
      </c>
      <c r="D24" s="9" t="s">
        <v>42</v>
      </c>
      <c r="E24" s="10" t="s">
        <v>100</v>
      </c>
      <c r="F24" s="7" t="s">
        <v>274</v>
      </c>
      <c r="G24" s="10" t="s">
        <v>147</v>
      </c>
      <c r="H24" s="9" t="s">
        <v>230</v>
      </c>
      <c r="I24" s="10" t="s">
        <v>273</v>
      </c>
      <c r="J24" s="9">
        <v>1</v>
      </c>
      <c r="K24" s="9"/>
    </row>
    <row r="25" spans="1:11" ht="48.75" thickBot="1" x14ac:dyDescent="0.3">
      <c r="A25" s="1"/>
      <c r="B25" s="11">
        <f>ROW(B25) - ROW($B$2)</f>
        <v>23</v>
      </c>
      <c r="C25" s="12" t="s">
        <v>8</v>
      </c>
      <c r="D25" s="7" t="s">
        <v>43</v>
      </c>
      <c r="E25" s="8" t="s">
        <v>101</v>
      </c>
      <c r="F25" s="7" t="s">
        <v>274</v>
      </c>
      <c r="G25" s="8" t="s">
        <v>148</v>
      </c>
      <c r="H25" s="7" t="s">
        <v>229</v>
      </c>
      <c r="I25" s="10" t="s">
        <v>273</v>
      </c>
      <c r="J25" s="7">
        <v>1</v>
      </c>
      <c r="K25" s="7"/>
    </row>
    <row r="26" spans="1:11" ht="26.25" thickBot="1" x14ac:dyDescent="0.3">
      <c r="A26" s="1"/>
      <c r="B26" s="11">
        <f t="shared" si="0"/>
        <v>24</v>
      </c>
      <c r="C26" s="13" t="s">
        <v>10</v>
      </c>
      <c r="D26" s="9" t="s">
        <v>44</v>
      </c>
      <c r="E26" s="10" t="s">
        <v>102</v>
      </c>
      <c r="F26" s="7" t="s">
        <v>274</v>
      </c>
      <c r="G26" s="10" t="s">
        <v>149</v>
      </c>
      <c r="H26" s="9" t="s">
        <v>231</v>
      </c>
      <c r="I26" s="10" t="s">
        <v>273</v>
      </c>
      <c r="J26" s="9">
        <v>1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11</v>
      </c>
      <c r="D27" s="7" t="s">
        <v>45</v>
      </c>
      <c r="E27" s="8" t="s">
        <v>103</v>
      </c>
      <c r="F27" s="7" t="s">
        <v>150</v>
      </c>
      <c r="G27" s="8" t="s">
        <v>187</v>
      </c>
      <c r="H27" s="7" t="s">
        <v>232</v>
      </c>
      <c r="I27" s="8" t="s">
        <v>257</v>
      </c>
      <c r="J27" s="7">
        <v>2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12</v>
      </c>
      <c r="D28" s="9" t="s">
        <v>46</v>
      </c>
      <c r="E28" s="10" t="s">
        <v>104</v>
      </c>
      <c r="F28" s="9" t="s">
        <v>151</v>
      </c>
      <c r="G28" s="10" t="s">
        <v>188</v>
      </c>
      <c r="H28" s="9" t="s">
        <v>233</v>
      </c>
      <c r="I28" s="10" t="s">
        <v>273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12</v>
      </c>
      <c r="D29" s="7" t="s">
        <v>47</v>
      </c>
      <c r="E29" s="8" t="s">
        <v>105</v>
      </c>
      <c r="F29" s="7" t="s">
        <v>151</v>
      </c>
      <c r="G29" s="8" t="s">
        <v>189</v>
      </c>
      <c r="H29" s="7" t="s">
        <v>233</v>
      </c>
      <c r="I29" s="10" t="s">
        <v>273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12</v>
      </c>
      <c r="D30" s="9" t="s">
        <v>48</v>
      </c>
      <c r="E30" s="10" t="s">
        <v>106</v>
      </c>
      <c r="F30" s="9" t="s">
        <v>152</v>
      </c>
      <c r="G30" s="10" t="s">
        <v>190</v>
      </c>
      <c r="H30" s="9" t="s">
        <v>233</v>
      </c>
      <c r="I30" s="10" t="s">
        <v>273</v>
      </c>
      <c r="J30" s="9">
        <v>1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12</v>
      </c>
      <c r="D31" s="7" t="s">
        <v>49</v>
      </c>
      <c r="E31" s="8" t="s">
        <v>107</v>
      </c>
      <c r="F31" s="7" t="s">
        <v>152</v>
      </c>
      <c r="G31" s="8" t="s">
        <v>191</v>
      </c>
      <c r="H31" s="7" t="s">
        <v>234</v>
      </c>
      <c r="I31" s="10" t="s">
        <v>273</v>
      </c>
      <c r="J31" s="7">
        <v>1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12</v>
      </c>
      <c r="D32" s="9" t="s">
        <v>50</v>
      </c>
      <c r="E32" s="10" t="s">
        <v>108</v>
      </c>
      <c r="F32" s="9" t="s">
        <v>153</v>
      </c>
      <c r="G32" s="10" t="s">
        <v>192</v>
      </c>
      <c r="H32" s="9" t="s">
        <v>233</v>
      </c>
      <c r="I32" s="10" t="s">
        <v>273</v>
      </c>
      <c r="J32" s="9">
        <v>1</v>
      </c>
      <c r="K32" s="9"/>
    </row>
    <row r="33" spans="1:11" ht="24.75" thickBot="1" x14ac:dyDescent="0.3">
      <c r="A33" s="1"/>
      <c r="B33" s="11">
        <f>ROW(B33) - ROW($B$2)</f>
        <v>31</v>
      </c>
      <c r="C33" s="12" t="s">
        <v>13</v>
      </c>
      <c r="D33" s="7" t="s">
        <v>51</v>
      </c>
      <c r="E33" s="8" t="s">
        <v>109</v>
      </c>
      <c r="F33" s="7" t="s">
        <v>154</v>
      </c>
      <c r="G33" s="8" t="s">
        <v>193</v>
      </c>
      <c r="H33" s="7" t="s">
        <v>235</v>
      </c>
      <c r="I33" s="10" t="s">
        <v>273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14</v>
      </c>
      <c r="D34" s="9" t="s">
        <v>52</v>
      </c>
      <c r="E34" s="10" t="s">
        <v>110</v>
      </c>
      <c r="F34" s="9" t="s">
        <v>155</v>
      </c>
      <c r="G34" s="10" t="s">
        <v>194</v>
      </c>
      <c r="H34" s="9" t="s">
        <v>236</v>
      </c>
      <c r="I34" s="10" t="s">
        <v>273</v>
      </c>
      <c r="J34" s="9">
        <v>1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13</v>
      </c>
      <c r="D35" s="7" t="s">
        <v>53</v>
      </c>
      <c r="E35" s="8" t="s">
        <v>111</v>
      </c>
      <c r="F35" s="7" t="s">
        <v>156</v>
      </c>
      <c r="G35" s="8" t="s">
        <v>195</v>
      </c>
      <c r="H35" s="7" t="s">
        <v>237</v>
      </c>
      <c r="I35" s="10" t="s">
        <v>273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13</v>
      </c>
      <c r="D36" s="9" t="s">
        <v>54</v>
      </c>
      <c r="E36" s="10" t="s">
        <v>112</v>
      </c>
      <c r="F36" s="9" t="s">
        <v>156</v>
      </c>
      <c r="G36" s="10" t="s">
        <v>196</v>
      </c>
      <c r="H36" s="9" t="s">
        <v>238</v>
      </c>
      <c r="I36" s="10" t="s">
        <v>273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3" t="s">
        <v>13</v>
      </c>
      <c r="D37" s="7" t="s">
        <v>55</v>
      </c>
      <c r="E37" s="8" t="s">
        <v>113</v>
      </c>
      <c r="F37" s="7" t="s">
        <v>157</v>
      </c>
      <c r="G37" s="8" t="s">
        <v>197</v>
      </c>
      <c r="H37" s="7" t="s">
        <v>225</v>
      </c>
      <c r="I37" s="10" t="s">
        <v>273</v>
      </c>
      <c r="J37" s="7">
        <v>2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15</v>
      </c>
      <c r="D38" s="9" t="s">
        <v>56</v>
      </c>
      <c r="E38" s="10" t="s">
        <v>114</v>
      </c>
      <c r="F38" s="9" t="s">
        <v>158</v>
      </c>
      <c r="G38" s="10" t="s">
        <v>198</v>
      </c>
      <c r="H38" s="9" t="s">
        <v>219</v>
      </c>
      <c r="I38" s="10" t="s">
        <v>258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15</v>
      </c>
      <c r="D39" s="7" t="s">
        <v>57</v>
      </c>
      <c r="E39" s="8" t="s">
        <v>115</v>
      </c>
      <c r="F39" s="7" t="s">
        <v>159</v>
      </c>
      <c r="G39" s="8" t="s">
        <v>199</v>
      </c>
      <c r="H39" s="7" t="s">
        <v>219</v>
      </c>
      <c r="I39" s="8" t="s">
        <v>259</v>
      </c>
      <c r="J39" s="7">
        <v>2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15</v>
      </c>
      <c r="D40" s="9" t="s">
        <v>58</v>
      </c>
      <c r="E40" s="10" t="s">
        <v>116</v>
      </c>
      <c r="F40" s="9" t="s">
        <v>159</v>
      </c>
      <c r="G40" s="10" t="s">
        <v>200</v>
      </c>
      <c r="H40" s="9" t="s">
        <v>219</v>
      </c>
      <c r="I40" s="10" t="s">
        <v>260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15</v>
      </c>
      <c r="D41" s="7" t="s">
        <v>59</v>
      </c>
      <c r="E41" s="8" t="s">
        <v>117</v>
      </c>
      <c r="F41" s="7" t="s">
        <v>158</v>
      </c>
      <c r="G41" s="8" t="s">
        <v>201</v>
      </c>
      <c r="H41" s="7" t="s">
        <v>219</v>
      </c>
      <c r="I41" s="8" t="s">
        <v>261</v>
      </c>
      <c r="J41" s="7">
        <v>2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15</v>
      </c>
      <c r="D42" s="9" t="s">
        <v>60</v>
      </c>
      <c r="E42" s="10" t="s">
        <v>118</v>
      </c>
      <c r="F42" s="9" t="s">
        <v>158</v>
      </c>
      <c r="G42" s="10" t="s">
        <v>202</v>
      </c>
      <c r="H42" s="9" t="s">
        <v>219</v>
      </c>
      <c r="I42" s="10" t="s">
        <v>262</v>
      </c>
      <c r="J42" s="9">
        <v>6</v>
      </c>
      <c r="K42" s="9"/>
    </row>
    <row r="43" spans="1:11" ht="15.75" thickBot="1" x14ac:dyDescent="0.3">
      <c r="A43" s="1"/>
      <c r="B43" s="11">
        <f>ROW(B43) - ROW($B$2)</f>
        <v>41</v>
      </c>
      <c r="C43" s="13" t="s">
        <v>15</v>
      </c>
      <c r="D43" s="7" t="s">
        <v>61</v>
      </c>
      <c r="E43" s="8" t="s">
        <v>119</v>
      </c>
      <c r="F43" s="7" t="s">
        <v>160</v>
      </c>
      <c r="G43" s="8" t="s">
        <v>203</v>
      </c>
      <c r="H43" s="7" t="s">
        <v>239</v>
      </c>
      <c r="I43" s="8" t="s">
        <v>263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15</v>
      </c>
      <c r="D44" s="9" t="s">
        <v>62</v>
      </c>
      <c r="E44" s="10" t="s">
        <v>120</v>
      </c>
      <c r="F44" s="9" t="s">
        <v>159</v>
      </c>
      <c r="G44" s="10" t="s">
        <v>204</v>
      </c>
      <c r="H44" s="9" t="s">
        <v>219</v>
      </c>
      <c r="I44" s="10" t="s">
        <v>260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15</v>
      </c>
      <c r="D45" s="7" t="s">
        <v>63</v>
      </c>
      <c r="E45" s="8" t="s">
        <v>121</v>
      </c>
      <c r="F45" s="7" t="s">
        <v>159</v>
      </c>
      <c r="G45" s="8" t="s">
        <v>205</v>
      </c>
      <c r="H45" s="7" t="s">
        <v>219</v>
      </c>
      <c r="I45" s="8" t="s">
        <v>264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15</v>
      </c>
      <c r="D46" s="9" t="s">
        <v>64</v>
      </c>
      <c r="E46" s="10" t="s">
        <v>122</v>
      </c>
      <c r="F46" s="9" t="s">
        <v>159</v>
      </c>
      <c r="G46" s="10" t="s">
        <v>206</v>
      </c>
      <c r="H46" s="9" t="s">
        <v>219</v>
      </c>
      <c r="I46" s="10" t="s">
        <v>265</v>
      </c>
      <c r="J46" s="9">
        <v>2</v>
      </c>
      <c r="K46" s="9"/>
    </row>
    <row r="47" spans="1:11" ht="36.75" thickBot="1" x14ac:dyDescent="0.3">
      <c r="A47" s="1"/>
      <c r="B47" s="11">
        <f>ROW(B47) - ROW($B$2)</f>
        <v>45</v>
      </c>
      <c r="C47" s="12" t="s">
        <v>15</v>
      </c>
      <c r="D47" s="7" t="s">
        <v>65</v>
      </c>
      <c r="E47" s="8" t="s">
        <v>123</v>
      </c>
      <c r="F47" s="7" t="s">
        <v>158</v>
      </c>
      <c r="G47" s="8" t="s">
        <v>207</v>
      </c>
      <c r="H47" s="7" t="s">
        <v>240</v>
      </c>
      <c r="I47" s="8" t="s">
        <v>266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15</v>
      </c>
      <c r="D48" s="9" t="s">
        <v>66</v>
      </c>
      <c r="E48" s="10" t="s">
        <v>124</v>
      </c>
      <c r="F48" s="9" t="s">
        <v>159</v>
      </c>
      <c r="G48" s="10" t="s">
        <v>208</v>
      </c>
      <c r="H48" s="9" t="s">
        <v>219</v>
      </c>
      <c r="I48" s="10" t="s">
        <v>261</v>
      </c>
      <c r="J48" s="9">
        <v>2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15</v>
      </c>
      <c r="D49" s="7" t="s">
        <v>67</v>
      </c>
      <c r="E49" s="8" t="s">
        <v>125</v>
      </c>
      <c r="F49" s="7" t="s">
        <v>158</v>
      </c>
      <c r="G49" s="8" t="s">
        <v>209</v>
      </c>
      <c r="H49" s="7" t="s">
        <v>219</v>
      </c>
      <c r="I49" s="8" t="s">
        <v>267</v>
      </c>
      <c r="J49" s="7">
        <v>2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15</v>
      </c>
      <c r="D50" s="9" t="s">
        <v>68</v>
      </c>
      <c r="E50" s="10" t="s">
        <v>126</v>
      </c>
      <c r="F50" s="9" t="s">
        <v>158</v>
      </c>
      <c r="G50" s="10" t="s">
        <v>210</v>
      </c>
      <c r="H50" s="9" t="s">
        <v>219</v>
      </c>
      <c r="I50" s="10" t="s">
        <v>268</v>
      </c>
      <c r="J50" s="9">
        <v>2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15</v>
      </c>
      <c r="D51" s="7" t="s">
        <v>69</v>
      </c>
      <c r="E51" s="8" t="s">
        <v>127</v>
      </c>
      <c r="F51" s="7" t="s">
        <v>158</v>
      </c>
      <c r="G51" s="8" t="s">
        <v>211</v>
      </c>
      <c r="H51" s="7" t="s">
        <v>219</v>
      </c>
      <c r="I51" s="8" t="s">
        <v>263</v>
      </c>
      <c r="J51" s="7">
        <v>4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15</v>
      </c>
      <c r="D52" s="9" t="s">
        <v>70</v>
      </c>
      <c r="E52" s="10" t="s">
        <v>128</v>
      </c>
      <c r="F52" s="9" t="s">
        <v>159</v>
      </c>
      <c r="G52" s="10" t="s">
        <v>212</v>
      </c>
      <c r="H52" s="9" t="s">
        <v>219</v>
      </c>
      <c r="I52" s="10" t="s">
        <v>269</v>
      </c>
      <c r="J52" s="9">
        <v>3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16</v>
      </c>
      <c r="D53" s="7" t="s">
        <v>71</v>
      </c>
      <c r="E53" s="8" t="s">
        <v>129</v>
      </c>
      <c r="F53" s="7" t="s">
        <v>274</v>
      </c>
      <c r="G53" s="8"/>
      <c r="H53" s="7" t="s">
        <v>241</v>
      </c>
      <c r="I53" s="8" t="s">
        <v>273</v>
      </c>
      <c r="J53" s="7">
        <v>2</v>
      </c>
      <c r="K53" s="7"/>
    </row>
    <row r="54" spans="1:11" ht="48.75" thickBot="1" x14ac:dyDescent="0.3">
      <c r="A54" s="1"/>
      <c r="B54" s="11">
        <f t="shared" si="0"/>
        <v>52</v>
      </c>
      <c r="C54" s="13" t="s">
        <v>17</v>
      </c>
      <c r="D54" s="9" t="s">
        <v>72</v>
      </c>
      <c r="E54" s="10" t="s">
        <v>130</v>
      </c>
      <c r="F54" s="7" t="s">
        <v>274</v>
      </c>
      <c r="G54" s="10" t="s">
        <v>161</v>
      </c>
      <c r="H54" s="9" t="s">
        <v>242</v>
      </c>
      <c r="I54" s="8" t="s">
        <v>273</v>
      </c>
      <c r="J54" s="9">
        <v>2</v>
      </c>
      <c r="K54" s="9"/>
    </row>
    <row r="55" spans="1:11" ht="48.75" thickBot="1" x14ac:dyDescent="0.3">
      <c r="A55" s="1"/>
      <c r="B55" s="11">
        <f>ROW(B55) - ROW($B$2)</f>
        <v>53</v>
      </c>
      <c r="C55" s="12" t="s">
        <v>16</v>
      </c>
      <c r="D55" s="7" t="s">
        <v>73</v>
      </c>
      <c r="E55" s="8" t="s">
        <v>131</v>
      </c>
      <c r="F55" s="7" t="s">
        <v>274</v>
      </c>
      <c r="G55" s="8" t="s">
        <v>162</v>
      </c>
      <c r="H55" s="7" t="s">
        <v>241</v>
      </c>
      <c r="I55" s="8" t="s">
        <v>273</v>
      </c>
      <c r="J55" s="7">
        <v>2</v>
      </c>
      <c r="K55" s="7"/>
    </row>
    <row r="56" spans="1:11" ht="24.75" thickBot="1" x14ac:dyDescent="0.3">
      <c r="A56" s="1"/>
      <c r="B56" s="11">
        <f t="shared" si="0"/>
        <v>54</v>
      </c>
      <c r="C56" s="13" t="s">
        <v>18</v>
      </c>
      <c r="D56" s="9" t="s">
        <v>74</v>
      </c>
      <c r="E56" s="10" t="s">
        <v>132</v>
      </c>
      <c r="F56" s="9" t="s">
        <v>163</v>
      </c>
      <c r="G56" s="10" t="s">
        <v>213</v>
      </c>
      <c r="H56" s="9" t="s">
        <v>243</v>
      </c>
      <c r="I56" s="8" t="s">
        <v>273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18</v>
      </c>
      <c r="D57" s="7" t="s">
        <v>75</v>
      </c>
      <c r="E57" s="8" t="s">
        <v>133</v>
      </c>
      <c r="F57" s="7" t="s">
        <v>164</v>
      </c>
      <c r="G57" s="8" t="s">
        <v>214</v>
      </c>
      <c r="H57" s="7" t="s">
        <v>244</v>
      </c>
      <c r="I57" s="8" t="s">
        <v>273</v>
      </c>
      <c r="J57" s="7">
        <v>2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19</v>
      </c>
      <c r="D58" s="9" t="s">
        <v>76</v>
      </c>
      <c r="E58" s="10" t="s">
        <v>134</v>
      </c>
      <c r="F58" s="9" t="s">
        <v>165</v>
      </c>
      <c r="G58" s="10" t="s">
        <v>215</v>
      </c>
      <c r="H58" s="9" t="s">
        <v>245</v>
      </c>
      <c r="I58" s="8" t="s">
        <v>273</v>
      </c>
      <c r="J58" s="9">
        <v>1</v>
      </c>
      <c r="K58" s="9"/>
    </row>
    <row r="59" spans="1:11" ht="24.75" thickBot="1" x14ac:dyDescent="0.3">
      <c r="A59" s="1"/>
      <c r="B59" s="11">
        <f>ROW(B59) - ROW($B$2)</f>
        <v>57</v>
      </c>
      <c r="C59" s="12" t="s">
        <v>18</v>
      </c>
      <c r="D59" s="7" t="s">
        <v>77</v>
      </c>
      <c r="E59" s="8" t="s">
        <v>135</v>
      </c>
      <c r="F59" s="7" t="s">
        <v>166</v>
      </c>
      <c r="G59" s="8" t="s">
        <v>216</v>
      </c>
      <c r="H59" s="7" t="s">
        <v>246</v>
      </c>
      <c r="I59" s="8" t="s">
        <v>273</v>
      </c>
      <c r="J59" s="7">
        <v>2</v>
      </c>
      <c r="K59" s="7"/>
    </row>
    <row r="60" spans="1:11" ht="30.75" thickBot="1" x14ac:dyDescent="0.3">
      <c r="B60" s="11">
        <f>ROW(B60) - ROW($B$2)</f>
        <v>58</v>
      </c>
      <c r="C60" s="12" t="s">
        <v>275</v>
      </c>
      <c r="D60" s="7" t="s">
        <v>273</v>
      </c>
      <c r="E60" s="8" t="s">
        <v>277</v>
      </c>
      <c r="F60" s="7" t="s">
        <v>273</v>
      </c>
      <c r="G60" s="8" t="s">
        <v>276</v>
      </c>
      <c r="H60" s="7" t="s">
        <v>273</v>
      </c>
      <c r="I60" s="8" t="s">
        <v>273</v>
      </c>
      <c r="J60" s="7">
        <v>1</v>
      </c>
      <c r="K60" s="14" t="s">
        <v>280</v>
      </c>
    </row>
    <row r="61" spans="1:11" ht="30.75" thickBot="1" x14ac:dyDescent="0.3">
      <c r="B61" s="11">
        <f t="shared" ref="B61:B63" si="1">ROW(B61) - ROW($B$2)</f>
        <v>59</v>
      </c>
      <c r="C61" s="12" t="s">
        <v>275</v>
      </c>
      <c r="D61" s="9" t="s">
        <v>273</v>
      </c>
      <c r="E61" s="10" t="s">
        <v>278</v>
      </c>
      <c r="F61" s="9" t="s">
        <v>273</v>
      </c>
      <c r="G61" s="10" t="s">
        <v>279</v>
      </c>
      <c r="H61" s="9" t="s">
        <v>273</v>
      </c>
      <c r="I61" s="8" t="s">
        <v>273</v>
      </c>
      <c r="J61" s="9">
        <v>1</v>
      </c>
      <c r="K61" s="15" t="s">
        <v>280</v>
      </c>
    </row>
    <row r="62" spans="1:11" ht="15.75" thickBot="1" x14ac:dyDescent="0.3">
      <c r="B62" s="11">
        <f>ROW(B62) - ROW($B$2)</f>
        <v>60</v>
      </c>
      <c r="C62" s="12" t="s">
        <v>275</v>
      </c>
      <c r="D62" s="9" t="s">
        <v>273</v>
      </c>
      <c r="E62" s="8" t="s">
        <v>285</v>
      </c>
      <c r="F62" s="7" t="s">
        <v>273</v>
      </c>
      <c r="G62" s="8" t="s">
        <v>281</v>
      </c>
      <c r="H62" s="7" t="s">
        <v>273</v>
      </c>
      <c r="I62" s="8" t="s">
        <v>273</v>
      </c>
      <c r="J62" s="7">
        <v>1</v>
      </c>
      <c r="K62" s="14" t="s">
        <v>284</v>
      </c>
    </row>
    <row r="63" spans="1:11" ht="30.75" thickBot="1" x14ac:dyDescent="0.3">
      <c r="B63" s="11">
        <f t="shared" si="1"/>
        <v>61</v>
      </c>
      <c r="C63" s="12" t="s">
        <v>275</v>
      </c>
      <c r="D63" s="9" t="s">
        <v>273</v>
      </c>
      <c r="E63" s="10" t="s">
        <v>283</v>
      </c>
      <c r="F63" s="9" t="s">
        <v>273</v>
      </c>
      <c r="G63" s="10" t="s">
        <v>282</v>
      </c>
      <c r="H63" s="9" t="s">
        <v>273</v>
      </c>
      <c r="I63" s="8" t="s">
        <v>273</v>
      </c>
      <c r="J63" s="9">
        <v>1</v>
      </c>
      <c r="K63" s="15" t="s">
        <v>280</v>
      </c>
    </row>
  </sheetData>
  <mergeCells count="1">
    <mergeCell ref="I1:K1"/>
  </mergeCells>
  <hyperlinks>
    <hyperlink ref="K60" r:id="rId1"/>
    <hyperlink ref="K61" r:id="rId2"/>
    <hyperlink ref="K63" r:id="rId3"/>
    <hyperlink ref="K62" r:id="rId4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2025-02-13T16:26:39Z</dcterms:modified>
</cp:coreProperties>
</file>